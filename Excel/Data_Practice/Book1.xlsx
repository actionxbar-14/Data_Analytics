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UBHAV\Data_Analytics\Excel\Data_Practice\"/>
    </mc:Choice>
  </mc:AlternateContent>
  <xr:revisionPtr revIDLastSave="0" documentId="13_ncr:1_{F7481CB7-353B-4BF0-B79A-B84A6ABC3EE8}" xr6:coauthVersionLast="47" xr6:coauthVersionMax="47" xr10:uidLastSave="{00000000-0000-0000-0000-000000000000}"/>
  <bookViews>
    <workbookView xWindow="-108" yWindow="-108" windowWidth="23256" windowHeight="13896" tabRatio="599" activeTab="7" xr2:uid="{A2E164C0-61BD-4DE9-B16C-63B76EDEBB77}"/>
  </bookViews>
  <sheets>
    <sheet name="Project_1" sheetId="2" r:id="rId1"/>
    <sheet name="Sheet1" sheetId="1" r:id="rId2"/>
    <sheet name="Sheet5" sheetId="5" r:id="rId3"/>
    <sheet name="School_Data" sheetId="6" r:id="rId4"/>
    <sheet name="Sheet8" sheetId="12" r:id="rId5"/>
    <sheet name="Sheet4" sheetId="9" r:id="rId6"/>
    <sheet name="Sheet6" sheetId="10" r:id="rId7"/>
    <sheet name="Sheet9" sheetId="13" r:id="rId8"/>
    <sheet name="Sheet7" sheetId="11" r:id="rId9"/>
    <sheet name="Sheet3" sheetId="8" r:id="rId10"/>
    <sheet name="Names" sheetId="7" r:id="rId11"/>
  </sheets>
  <definedNames>
    <definedName name="_xlnm._FilterDatabase" localSheetId="0" hidden="1">Project_1!$A$5:$J$9</definedName>
    <definedName name="_xlnm._FilterDatabase" localSheetId="3" hidden="1">School_Data!$A$5:$I$19</definedName>
  </definedNames>
  <calcPr calcId="191029"/>
  <pivotCaches>
    <pivotCache cacheId="9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6" l="1"/>
  <c r="M7" i="6"/>
  <c r="M8" i="6"/>
  <c r="M9" i="6"/>
  <c r="M10" i="6"/>
  <c r="F6" i="1"/>
  <c r="F7" i="1"/>
  <c r="F8" i="1"/>
  <c r="F9" i="1"/>
  <c r="F10" i="1"/>
  <c r="F5" i="1"/>
  <c r="E6" i="1"/>
  <c r="E7" i="1"/>
  <c r="E8" i="1"/>
  <c r="E9" i="1"/>
  <c r="E10" i="1"/>
  <c r="E5" i="1"/>
  <c r="D6" i="1"/>
  <c r="D7" i="1"/>
  <c r="D8" i="1"/>
  <c r="D9" i="1"/>
  <c r="D10" i="1"/>
  <c r="D5" i="1"/>
  <c r="H5" i="2"/>
  <c r="I5" i="2"/>
  <c r="J5" i="2"/>
  <c r="J6" i="2"/>
  <c r="J7" i="2"/>
  <c r="J8" i="2"/>
  <c r="J9" i="2"/>
  <c r="I6" i="2"/>
  <c r="I7" i="2"/>
  <c r="I8" i="2"/>
  <c r="I9" i="2"/>
  <c r="H6" i="2"/>
  <c r="H7" i="2"/>
  <c r="H8" i="2"/>
  <c r="H9" i="2"/>
</calcChain>
</file>

<file path=xl/sharedStrings.xml><?xml version="1.0" encoding="utf-8"?>
<sst xmlns="http://schemas.openxmlformats.org/spreadsheetml/2006/main" count="284" uniqueCount="114">
  <si>
    <t>S No</t>
  </si>
  <si>
    <t>First Name</t>
  </si>
  <si>
    <t>Last Name</t>
  </si>
  <si>
    <t>DOJ</t>
  </si>
  <si>
    <t>RNM</t>
  </si>
  <si>
    <t>GOPAL</t>
  </si>
  <si>
    <t>JOSEPH</t>
  </si>
  <si>
    <t>HARI</t>
  </si>
  <si>
    <t>RAJA</t>
  </si>
  <si>
    <t>KUMAR</t>
  </si>
  <si>
    <t>VERMA</t>
  </si>
  <si>
    <t>PAUL</t>
  </si>
  <si>
    <t>SINGH</t>
  </si>
  <si>
    <t>RAM</t>
  </si>
  <si>
    <t>Employee Salary Description</t>
  </si>
  <si>
    <t>Sal-Jan</t>
  </si>
  <si>
    <t>Sal-Feb</t>
  </si>
  <si>
    <t>Sal-March</t>
  </si>
  <si>
    <t>Sal Total</t>
  </si>
  <si>
    <t>Avg Sal</t>
  </si>
  <si>
    <t>Full Name</t>
  </si>
  <si>
    <t>Numbers</t>
  </si>
  <si>
    <t>Round</t>
  </si>
  <si>
    <t>Round Up</t>
  </si>
  <si>
    <t>Round down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</si>
  <si>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</si>
  <si>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</si>
  <si>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</si>
  <si>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</si>
  <si>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</si>
  <si>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</si>
  <si>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</si>
  <si>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</si>
  <si>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</si>
  <si>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</si>
  <si>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</si>
  <si>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</si>
  <si>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</si>
  <si>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</si>
  <si>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</si>
  <si>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</si>
  <si>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Friday</t>
  </si>
  <si>
    <t>Saturday</t>
  </si>
  <si>
    <t>Sunday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</si>
  <si>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</si>
  <si>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</si>
  <si>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</si>
  <si>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</si>
  <si>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</si>
  <si>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</si>
  <si>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</si>
  <si>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</si>
  <si>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</si>
  <si>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</si>
  <si>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</si>
  <si>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</si>
  <si>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</t>
  </si>
  <si>
    <t>tue</t>
  </si>
  <si>
    <t>wed</t>
  </si>
  <si>
    <t>thu</t>
  </si>
  <si>
    <t>fri</t>
  </si>
  <si>
    <t>sat</t>
  </si>
  <si>
    <t>sun</t>
  </si>
  <si>
    <t>RNM School Data</t>
  </si>
  <si>
    <t>Name</t>
  </si>
  <si>
    <t>Gender</t>
  </si>
  <si>
    <t>Age</t>
  </si>
  <si>
    <t>Class</t>
  </si>
  <si>
    <t>House</t>
  </si>
  <si>
    <t>Unit Test 1</t>
  </si>
  <si>
    <t>Unit Test 2</t>
  </si>
  <si>
    <t>Final Test</t>
  </si>
  <si>
    <t>email</t>
  </si>
  <si>
    <t>Abhimanyu</t>
  </si>
  <si>
    <t>Arjun</t>
  </si>
  <si>
    <t>Champa</t>
  </si>
  <si>
    <t>Gopal</t>
  </si>
  <si>
    <t>Gopi</t>
  </si>
  <si>
    <t>Hari</t>
  </si>
  <si>
    <t>Indu</t>
  </si>
  <si>
    <t>Keshav</t>
  </si>
  <si>
    <t>Lalita</t>
  </si>
  <si>
    <t>Madhav</t>
  </si>
  <si>
    <t>Sudevi</t>
  </si>
  <si>
    <t>Vishakha</t>
  </si>
  <si>
    <t>Vrinda</t>
  </si>
  <si>
    <t>M</t>
  </si>
  <si>
    <t>F</t>
  </si>
  <si>
    <t>Bhoomi</t>
  </si>
  <si>
    <t>Vayu</t>
  </si>
  <si>
    <t>Jal</t>
  </si>
  <si>
    <t>Agni</t>
  </si>
  <si>
    <t>Bhooomi</t>
  </si>
  <si>
    <t>Abhimanyu@mail.com</t>
  </si>
  <si>
    <t>Arjun@mail.com</t>
  </si>
  <si>
    <t>Gopal@mail.com</t>
  </si>
  <si>
    <t>Hari@mail.com</t>
  </si>
  <si>
    <t>Keshav@mail.com</t>
  </si>
  <si>
    <t>Madhav@mail.com</t>
  </si>
  <si>
    <t>RNM@mail.com</t>
  </si>
  <si>
    <t>Champa@mail.com</t>
  </si>
  <si>
    <t>Gopi@mail.com</t>
  </si>
  <si>
    <t>Indu@mail.com</t>
  </si>
  <si>
    <t>Lalita@mail.com</t>
  </si>
  <si>
    <t>Sudevi@mail.com</t>
  </si>
  <si>
    <t>Vishakha@mail.com</t>
  </si>
  <si>
    <t>Vrinda@mail.com</t>
  </si>
  <si>
    <t>Grade</t>
  </si>
  <si>
    <t>A</t>
  </si>
  <si>
    <t>B</t>
  </si>
  <si>
    <t>C</t>
  </si>
  <si>
    <t>Row Labels</t>
  </si>
  <si>
    <t>Grand Total</t>
  </si>
  <si>
    <t>Sum of Final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</si>
</sst>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11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4" borderId="2" xfId="0" applyFont="1" applyFill="1" applyBorder="1" applyAlignment="1">
      <alignment vertical="center"/>
    </xf>
    <xf numFmtId="0" fontId="1" fillId="4" borderId="12" xfId="0" applyFont="1" applyFill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4" borderId="0" xfId="0" applyFill="1"/>
    <xf numFmtId="165" fontId="0" fillId="0" borderId="0" xfId="0" applyNumberFormat="1"/>
    <xf numFmtId="0" fontId="6" fillId="0" borderId="1" xfId="1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14" xfId="1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6" fillId="0" borderId="19" xfId="1" applyFont="1" applyBorder="1" applyAlignment="1">
      <alignment horizontal="center"/>
    </xf>
    <xf numFmtId="0" fontId="0" fillId="0" borderId="19" xfId="0" applyBorder="1"/>
    <xf numFmtId="0" fontId="0" fillId="0" borderId="17" xfId="0" applyBorder="1"/>
    <xf numFmtId="0" fontId="7" fillId="2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2" borderId="15" xfId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6" fillId="6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15" xfId="0" applyFill="1" applyBorder="1"/>
    <xf numFmtId="0" fontId="0" fillId="2" borderId="16" xfId="0" applyFill="1" applyBorder="1"/>
    <xf numFmtId="0" fontId="0" fillId="0" borderId="13" xfId="0" applyBorder="1"/>
    <xf numFmtId="0" fontId="0" fillId="0" borderId="14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Hyperlink" xfId="1" builtinId="8"/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Sheet6!$A$2:$A$16</c:f>
              <c:strCache>
                <c:ptCount val="15"/>
                <c:pt idx="0">
                  <c:v>Name</c:v>
                </c:pt>
                <c:pt idx="1">
                  <c:v>Abhimanyu</c:v>
                </c:pt>
                <c:pt idx="2">
                  <c:v>Vrinda</c:v>
                </c:pt>
                <c:pt idx="3">
                  <c:v>Gopi</c:v>
                </c:pt>
                <c:pt idx="4">
                  <c:v>Keshav</c:v>
                </c:pt>
                <c:pt idx="5">
                  <c:v>Lalita</c:v>
                </c:pt>
                <c:pt idx="6">
                  <c:v>Arjun</c:v>
                </c:pt>
                <c:pt idx="7">
                  <c:v>Indu</c:v>
                </c:pt>
                <c:pt idx="8">
                  <c:v>Madhav</c:v>
                </c:pt>
                <c:pt idx="9">
                  <c:v>Champa</c:v>
                </c:pt>
                <c:pt idx="10">
                  <c:v>Sudevi</c:v>
                </c:pt>
                <c:pt idx="11">
                  <c:v>Vishakha</c:v>
                </c:pt>
                <c:pt idx="12">
                  <c:v>Hari</c:v>
                </c:pt>
                <c:pt idx="13">
                  <c:v>Gopal</c:v>
                </c:pt>
                <c:pt idx="14">
                  <c:v>RNM</c:v>
                </c:pt>
              </c:strCache>
            </c:strRef>
          </c:cat>
          <c:val>
            <c:numRef>
              <c:f>Sheet6!$B$2:$B$16</c:f>
              <c:numCache>
                <c:formatCode>General</c:formatCode>
                <c:ptCount val="15"/>
                <c:pt idx="0">
                  <c:v>0</c:v>
                </c:pt>
                <c:pt idx="1">
                  <c:v>99</c:v>
                </c:pt>
                <c:pt idx="2">
                  <c:v>98</c:v>
                </c:pt>
                <c:pt idx="3">
                  <c:v>96</c:v>
                </c:pt>
                <c:pt idx="4">
                  <c:v>96</c:v>
                </c:pt>
                <c:pt idx="5">
                  <c:v>92</c:v>
                </c:pt>
                <c:pt idx="6">
                  <c:v>91</c:v>
                </c:pt>
                <c:pt idx="7">
                  <c:v>89</c:v>
                </c:pt>
                <c:pt idx="8">
                  <c:v>89</c:v>
                </c:pt>
                <c:pt idx="9">
                  <c:v>88</c:v>
                </c:pt>
                <c:pt idx="10">
                  <c:v>87</c:v>
                </c:pt>
                <c:pt idx="11">
                  <c:v>85</c:v>
                </c:pt>
                <c:pt idx="12">
                  <c:v>80</c:v>
                </c:pt>
                <c:pt idx="13">
                  <c:v>79</c:v>
                </c:pt>
                <c:pt idx="14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3-4B0F-A30B-C672C90D92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4725551"/>
        <c:axId val="1344715951"/>
      </c:barChart>
      <c:catAx>
        <c:axId val="1344725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</a:t>
                </a:r>
                <a:r>
                  <a:rPr lang="en-IN" baseline="0"/>
                  <a:t> Names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15951"/>
        <c:crosses val="autoZero"/>
        <c:auto val="1"/>
        <c:lblAlgn val="ctr"/>
        <c:lblOffset val="100"/>
        <c:noMultiLvlLbl val="0"/>
      </c:catAx>
      <c:valAx>
        <c:axId val="13447159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Marks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2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252413</xdr:colOff>
      <xdr:row>4</xdr:row>
      <xdr:rowOff>80962</xdr:rowOff>
    </xdr:from>
    <xdr:to>
      <xdr:col>9</xdr:col>
      <xdr:colOff>528638</xdr:colOff>
      <xdr:row>17</xdr:row>
      <xdr:rowOff>116680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E02A9-DE95-8E4F-9CDF-8D319A751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BHAV" refreshedDate="46199.639151504627" createdVersion="8" refreshedVersion="8" minRefreshableVersion="3" recordCount="14" xr:uid="{BA8AF8BD-B888-4CE8-A096-C02D3F0303CB}">
  <cacheSource type="worksheet">
    <worksheetSource name="Table15"/>
  </cacheSource>
  <cacheFields count="9">
    <cacheField name="Name" numFmtId="0">
      <sharedItems/>
    </cacheField>
    <cacheField name="Gender" numFmtId="0">
      <sharedItems count="2">
        <s v="M"/>
        <s v="F"/>
      </sharedItems>
    </cacheField>
    <cacheField name="Age" numFmtId="0">
      <sharedItems containsSemiMixedTypes="0" containsString="0" containsNumber="1" containsInteger="1" minValue="11" maxValue="17"/>
    </cacheField>
    <cacheField name="Class" numFmtId="0">
      <sharedItems containsSemiMixedTypes="0" containsString="0" containsNumber="1" containsInteger="1" minValue="5" maxValue="10"/>
    </cacheField>
    <cacheField name="House" numFmtId="0">
      <sharedItems count="5">
        <s v="Bhoomi"/>
        <s v="Agni"/>
        <s v="Vayu"/>
        <s v="Jal"/>
        <s v="Bhooomi"/>
      </sharedItems>
    </cacheField>
    <cacheField name="Unit Test 1" numFmtId="0">
      <sharedItems containsSemiMixedTypes="0" containsString="0" containsNumber="1" containsInteger="1" minValue="70" maxValue="91" count="9">
        <n v="84"/>
        <n v="91"/>
        <n v="88"/>
        <n v="87"/>
        <n v="70"/>
        <n v="82"/>
        <n v="90"/>
        <n v="86"/>
        <n v="81"/>
      </sharedItems>
    </cacheField>
    <cacheField name="Unit Test 2" numFmtId="0">
      <sharedItems containsSemiMixedTypes="0" containsString="0" containsNumber="1" containsInteger="1" minValue="75" maxValue="96"/>
    </cacheField>
    <cacheField name="Final Test" numFmtId="0">
      <sharedItems containsSemiMixedTypes="0" containsString="0" containsNumber="1" containsInteger="1" minValue="77" maxValue="98"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Abhimanyu"/>
    <x v="0"/>
    <n v="16"/>
    <n v="10"/>
    <x v="0"/>
    <x v="0"/>
    <n v="79"/>
    <n v="77"/>
    <s v="Abhimanyu@mail.com"/>
  </r>
  <r>
    <s v="Vrinda"/>
    <x v="1"/>
    <n v="14"/>
    <n v="8"/>
    <x v="1"/>
    <x v="1"/>
    <n v="96"/>
    <n v="98"/>
    <s v="Vrinda@mail.com"/>
  </r>
  <r>
    <s v="Gopi"/>
    <x v="1"/>
    <n v="16"/>
    <n v="10"/>
    <x v="1"/>
    <x v="2"/>
    <n v="92"/>
    <n v="96"/>
    <s v="Gopi@mail.com"/>
  </r>
  <r>
    <s v="Keshav"/>
    <x v="0"/>
    <n v="15"/>
    <n v="9"/>
    <x v="1"/>
    <x v="3"/>
    <n v="89"/>
    <n v="96"/>
    <s v="Keshav@mail.com"/>
  </r>
  <r>
    <s v="Lalita"/>
    <x v="1"/>
    <n v="17"/>
    <n v="10"/>
    <x v="2"/>
    <x v="4"/>
    <n v="90"/>
    <n v="92"/>
    <s v="Lalita@mail.com"/>
  </r>
  <r>
    <s v="Arjun"/>
    <x v="0"/>
    <n v="11"/>
    <n v="5"/>
    <x v="2"/>
    <x v="5"/>
    <n v="83"/>
    <n v="91"/>
    <s v="Arjun@mail.com"/>
  </r>
  <r>
    <s v="Indu"/>
    <x v="1"/>
    <n v="14"/>
    <n v="8"/>
    <x v="2"/>
    <x v="6"/>
    <n v="86"/>
    <n v="89"/>
    <s v="Indu@mail.com"/>
  </r>
  <r>
    <s v="Madhav"/>
    <x v="0"/>
    <n v="12"/>
    <n v="7"/>
    <x v="3"/>
    <x v="7"/>
    <n v="92"/>
    <n v="89"/>
    <s v="Madhav@mail.com"/>
  </r>
  <r>
    <s v="Champa"/>
    <x v="1"/>
    <n v="15"/>
    <n v="8"/>
    <x v="3"/>
    <x v="8"/>
    <n v="78"/>
    <n v="88"/>
    <s v="Champa@mail.com"/>
  </r>
  <r>
    <s v="Sudevi"/>
    <x v="1"/>
    <n v="16"/>
    <n v="10"/>
    <x v="3"/>
    <x v="8"/>
    <n v="80"/>
    <n v="87"/>
    <s v="Sudevi@mail.com"/>
  </r>
  <r>
    <s v="Vishakha"/>
    <x v="1"/>
    <n v="16"/>
    <n v="10"/>
    <x v="0"/>
    <x v="4"/>
    <n v="87"/>
    <n v="85"/>
    <s v="Vishakha@mail.com"/>
  </r>
  <r>
    <s v="Hari"/>
    <x v="0"/>
    <n v="16"/>
    <n v="10"/>
    <x v="4"/>
    <x v="5"/>
    <n v="81"/>
    <n v="80"/>
    <s v="Hari@mail.com"/>
  </r>
  <r>
    <s v="Gopal"/>
    <x v="0"/>
    <n v="14"/>
    <n v="8"/>
    <x v="0"/>
    <x v="4"/>
    <n v="75"/>
    <n v="79"/>
    <s v="Gopal@mail.com"/>
  </r>
  <r>
    <s v="RNM"/>
    <x v="0"/>
    <n v="16"/>
    <n v="10"/>
    <x v="1"/>
    <x v="7"/>
    <n v="81"/>
    <n v="77"/>
    <s v="RNM@mail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50116-CE85-4A22-8A56-3AE0A046995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9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axis="axisRow" showAll="0">
      <items count="6">
        <item x="1"/>
        <item x="0"/>
        <item x="4"/>
        <item x="3"/>
        <item x="2"/>
        <item t="default"/>
      </items>
    </pivotField>
    <pivotField axis="axisPage" showAll="0">
      <items count="10">
        <item x="4"/>
        <item x="8"/>
        <item x="5"/>
        <item x="0"/>
        <item x="7"/>
        <item x="3"/>
        <item x="2"/>
        <item x="6"/>
        <item x="1"/>
        <item t="default"/>
      </items>
    </pivotField>
    <pivotField showAll="0"/>
    <pivotField dataField="1" showAll="0"/>
    <pivotField showAll="0"/>
  </pivotFields>
  <rowFields count="2">
    <field x="1"/>
    <field x="4"/>
  </rowFields>
  <rowItems count="3">
    <i>
      <x/>
    </i>
    <i r="1">
      <x v="4"/>
    </i>
    <i t="grand">
      <x/>
    </i>
  </rowItems>
  <colItems count="1">
    <i/>
  </colItems>
  <pageFields count="1">
    <pageField fld="5" item="7" hier="-1"/>
  </pageFields>
  <dataFields count="1">
    <dataField name="Sum of Final Tes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0BBA0-5B02-45C1-89D7-EA3A75454212}" name="Table1" displayName="Table1" ref="A5:I19" totalsRowShown="0" headerRowDxfId="21" dataDxfId="22" headerRowBorderDxfId="33" tableBorderDxfId="34" totalsRowBorderDxfId="32">
  <autoFilter ref="A5:I19" xr:uid="{96F8C480-7A6D-42C9-8A69-EF0D0C785C34}"/>
  <sortState xmlns:xlrd2="http://schemas.microsoft.com/office/spreadsheetml/2017/richdata2" ref="A6:I19">
    <sortCondition descending="1" ref="H5:H19"/>
  </sortState>
  <tableColumns count="9">
    <tableColumn id="1" xr3:uid="{1ABA6004-1CE2-4012-9818-092B14BB932B}" name="Name" dataDxfId="31"/>
    <tableColumn id="2" xr3:uid="{D0ADBD19-C74B-4EF5-9BD1-A045CB223801}" name="Gender" dataDxfId="30"/>
    <tableColumn id="3" xr3:uid="{41993983-9ED0-4202-B5B1-2C105C1D2CD2}" name="Age" dataDxfId="29"/>
    <tableColumn id="4" xr3:uid="{A877F07D-A4F4-41A6-A30D-2214B2CDF8A1}" name="Class" dataDxfId="28"/>
    <tableColumn id="5" xr3:uid="{F438F5F8-61B6-4A04-ACD7-561245E914CD}" name="House" dataDxfId="27"/>
    <tableColumn id="6" xr3:uid="{C82A2CD8-A856-4304-B193-F2A018FBB18C}" name="Unit Test 1" dataDxfId="26"/>
    <tableColumn id="7" xr3:uid="{7F226ADD-1192-4DD6-95FB-91BE4CC648DA}" name="Unit Test 2" dataDxfId="25"/>
    <tableColumn id="8" xr3:uid="{C73CB2EB-6E2F-485E-AE33-C194E458514C}" name="Final Test" dataDxfId="24"/>
    <tableColumn id="9" xr3:uid="{3D3C72FB-0426-4853-8F7F-1ED925BA1CE7}" name="email" dataDxfId="23" dataCellStyle="Hyperlink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9EC1A0-A078-4817-BAA7-FFCD0763611E}" name="Table3" displayName="Table3" ref="L5:M10" totalsRowShown="0" headerRowDxfId="15" headerRowBorderDxfId="18" tableBorderDxfId="19" totalsRowBorderDxfId="17">
  <autoFilter ref="L5:M10" xr:uid="{2A9EC1A0-A078-4817-BAA7-FFCD0763611E}"/>
  <tableColumns count="2">
    <tableColumn id="1" xr3:uid="{BDBF4C45-AC89-45B3-8583-E381A17EA563}" name="Name" dataDxfId="16"/>
    <tableColumn id="2" xr3:uid="{AC44120A-F718-49E8-902E-58C28D9C1F1E}" name="Final Test" dataDxfId="14">
      <calculatedColumnFormula>VLOOKUP(Table3[[#This Row],[Name]],Table1[],8,0)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725C94-DFA1-430A-9EB2-A40429FEE84B}" name="Table15" displayName="Table15" ref="D6:L20" totalsRowShown="0" headerRowDxfId="13" dataDxfId="12" headerRowBorderDxfId="10" tableBorderDxfId="11" totalsRowBorderDxfId="9">
  <autoFilter ref="D6:L20" xr:uid="{28725C94-DFA1-430A-9EB2-A40429FEE84B}"/>
  <sortState xmlns:xlrd2="http://schemas.microsoft.com/office/spreadsheetml/2017/richdata2" ref="D7:L20">
    <sortCondition descending="1" ref="K5:K19"/>
  </sortState>
  <tableColumns count="9">
    <tableColumn id="1" xr3:uid="{628E896A-CD17-4027-8FD7-29461142ECDC}" name="Name" dataDxfId="8"/>
    <tableColumn id="2" xr3:uid="{F8C68C4D-A64D-46C7-A7B8-CC44D31DACE1}" name="Gender" dataDxfId="7"/>
    <tableColumn id="3" xr3:uid="{89F2DD79-F665-4C84-96DA-1CA5653AC3C8}" name="Age" dataDxfId="6"/>
    <tableColumn id="4" xr3:uid="{7CA610DE-C031-4721-B9A7-0BB4DEB81CDE}" name="Class" dataDxfId="5"/>
    <tableColumn id="5" xr3:uid="{9407BB5D-487B-4240-89EF-46AC1827EFE0}" name="House" dataDxfId="4"/>
    <tableColumn id="6" xr3:uid="{08190561-45BE-4F0A-B981-966CC621A4F9}" name="Unit Test 1" dataDxfId="3"/>
    <tableColumn id="7" xr3:uid="{97717CF0-2A1A-4633-B875-774293AED5C4}" name="Unit Test 2" dataDxfId="2"/>
    <tableColumn id="8" xr3:uid="{FA6A675B-4223-4072-9C72-DD0199A1647C}" name="Final Test" dataDxfId="1"/>
    <tableColumn id="9" xr3:uid="{252A3D17-BC54-4C60-8424-3238BA3160F5}" name="email" dataDxfId="0" dataCellStyle="Hyperlink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823AF2-3B06-4469-AC81-F26DB7D7106B}" name="Table2" displayName="Table2" ref="B3:B6" totalsRowShown="0">
  <autoFilter ref="B3:B6" xr:uid="{E6823AF2-3B06-4469-AC81-F26DB7D7106B}"/>
  <tableColumns count="1">
    <tableColumn id="1" xr3:uid="{B5517658-CF59-463E-96E4-ADDE6BF9BB8A}" name="Gr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Keshav@mail.com" TargetMode="External"/><Relationship Id="rId13" Type="http://schemas.openxmlformats.org/officeDocument/2006/relationships/hyperlink" Target="mailto:Vishakha@mail.com" TargetMode="External"/><Relationship Id="rId3" Type="http://schemas.openxmlformats.org/officeDocument/2006/relationships/hyperlink" Target="mailto:Champa@mail.com" TargetMode="External"/><Relationship Id="rId7" Type="http://schemas.openxmlformats.org/officeDocument/2006/relationships/hyperlink" Target="mailto:Indu@mail.com" TargetMode="External"/><Relationship Id="rId12" Type="http://schemas.openxmlformats.org/officeDocument/2006/relationships/hyperlink" Target="mailto:Sudevi@mail.com" TargetMode="External"/><Relationship Id="rId2" Type="http://schemas.openxmlformats.org/officeDocument/2006/relationships/hyperlink" Target="mailto:Arjun@mail.com" TargetMode="External"/><Relationship Id="rId16" Type="http://schemas.openxmlformats.org/officeDocument/2006/relationships/table" Target="../tables/table2.xml"/><Relationship Id="rId1" Type="http://schemas.openxmlformats.org/officeDocument/2006/relationships/hyperlink" Target="mailto:Abhimanyu@mail.com" TargetMode="External"/><Relationship Id="rId6" Type="http://schemas.openxmlformats.org/officeDocument/2006/relationships/hyperlink" Target="mailto:Hari@mail.com" TargetMode="External"/><Relationship Id="rId11" Type="http://schemas.openxmlformats.org/officeDocument/2006/relationships/hyperlink" Target="mailto:RNM@mail.com" TargetMode="External"/><Relationship Id="rId5" Type="http://schemas.openxmlformats.org/officeDocument/2006/relationships/hyperlink" Target="mailto:Gopi@mail.com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Madhav@mail.com" TargetMode="External"/><Relationship Id="rId4" Type="http://schemas.openxmlformats.org/officeDocument/2006/relationships/hyperlink" Target="mailto:Gopal@mail.com" TargetMode="External"/><Relationship Id="rId9" Type="http://schemas.openxmlformats.org/officeDocument/2006/relationships/hyperlink" Target="mailto:Lalita@mail.com" TargetMode="External"/><Relationship Id="rId14" Type="http://schemas.openxmlformats.org/officeDocument/2006/relationships/hyperlink" Target="mailto:Vrinda@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Keshav@mail.com" TargetMode="External"/><Relationship Id="rId13" Type="http://schemas.openxmlformats.org/officeDocument/2006/relationships/hyperlink" Target="mailto:Vishakha@mail.com" TargetMode="External"/><Relationship Id="rId3" Type="http://schemas.openxmlformats.org/officeDocument/2006/relationships/hyperlink" Target="mailto:Champa@mail.com" TargetMode="External"/><Relationship Id="rId7" Type="http://schemas.openxmlformats.org/officeDocument/2006/relationships/hyperlink" Target="mailto:Indu@mail.com" TargetMode="External"/><Relationship Id="rId12" Type="http://schemas.openxmlformats.org/officeDocument/2006/relationships/hyperlink" Target="mailto:Sudevi@mail.com" TargetMode="External"/><Relationship Id="rId2" Type="http://schemas.openxmlformats.org/officeDocument/2006/relationships/hyperlink" Target="mailto:Arjun@mail.com" TargetMode="External"/><Relationship Id="rId1" Type="http://schemas.openxmlformats.org/officeDocument/2006/relationships/hyperlink" Target="mailto:Abhimanyu@mail.com" TargetMode="External"/><Relationship Id="rId6" Type="http://schemas.openxmlformats.org/officeDocument/2006/relationships/hyperlink" Target="mailto:Hari@mail.com" TargetMode="External"/><Relationship Id="rId11" Type="http://schemas.openxmlformats.org/officeDocument/2006/relationships/hyperlink" Target="mailto:RNM@mail.com" TargetMode="External"/><Relationship Id="rId5" Type="http://schemas.openxmlformats.org/officeDocument/2006/relationships/hyperlink" Target="mailto:Gopi@mail.com" TargetMode="External"/><Relationship Id="rId10" Type="http://schemas.openxmlformats.org/officeDocument/2006/relationships/hyperlink" Target="mailto:Madhav@mail.com" TargetMode="External"/><Relationship Id="rId4" Type="http://schemas.openxmlformats.org/officeDocument/2006/relationships/hyperlink" Target="mailto:Gopal@mail.com" TargetMode="External"/><Relationship Id="rId9" Type="http://schemas.openxmlformats.org/officeDocument/2006/relationships/hyperlink" Target="mailto:Lalita@mail.com" TargetMode="External"/><Relationship Id="rId14" Type="http://schemas.openxmlformats.org/officeDocument/2006/relationships/hyperlink" Target="mailto:Vrinda@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Keshav@mail.com" TargetMode="External"/><Relationship Id="rId13" Type="http://schemas.openxmlformats.org/officeDocument/2006/relationships/hyperlink" Target="mailto:Vishakha@mail.com" TargetMode="External"/><Relationship Id="rId3" Type="http://schemas.openxmlformats.org/officeDocument/2006/relationships/hyperlink" Target="mailto:Champa@mail.com" TargetMode="External"/><Relationship Id="rId7" Type="http://schemas.openxmlformats.org/officeDocument/2006/relationships/hyperlink" Target="mailto:Indu@mail.com" TargetMode="External"/><Relationship Id="rId12" Type="http://schemas.openxmlformats.org/officeDocument/2006/relationships/hyperlink" Target="mailto:Sudevi@mail.com" TargetMode="External"/><Relationship Id="rId2" Type="http://schemas.openxmlformats.org/officeDocument/2006/relationships/hyperlink" Target="mailto:Arjun@mail.com" TargetMode="External"/><Relationship Id="rId1" Type="http://schemas.openxmlformats.org/officeDocument/2006/relationships/hyperlink" Target="mailto:Abhimanyu@mail.com" TargetMode="External"/><Relationship Id="rId6" Type="http://schemas.openxmlformats.org/officeDocument/2006/relationships/hyperlink" Target="mailto:Hari@mail.com" TargetMode="External"/><Relationship Id="rId11" Type="http://schemas.openxmlformats.org/officeDocument/2006/relationships/hyperlink" Target="mailto:RNM@mail.com" TargetMode="External"/><Relationship Id="rId5" Type="http://schemas.openxmlformats.org/officeDocument/2006/relationships/hyperlink" Target="mailto:Gopi@mail.com" TargetMode="External"/><Relationship Id="rId15" Type="http://schemas.openxmlformats.org/officeDocument/2006/relationships/table" Target="../tables/table3.xml"/><Relationship Id="rId10" Type="http://schemas.openxmlformats.org/officeDocument/2006/relationships/hyperlink" Target="mailto:Madhav@mail.com" TargetMode="External"/><Relationship Id="rId4" Type="http://schemas.openxmlformats.org/officeDocument/2006/relationships/hyperlink" Target="mailto:Gopal@mail.com" TargetMode="External"/><Relationship Id="rId9" Type="http://schemas.openxmlformats.org/officeDocument/2006/relationships/hyperlink" Target="mailto:Lalita@mail.com" TargetMode="External"/><Relationship Id="rId14" Type="http://schemas.openxmlformats.org/officeDocument/2006/relationships/hyperlink" Target="mailto:Vrinda@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8D021-45DB-42EF-98A5-81CBC8123FED}">
  <sheetPr>
    <tabColor rgb="FFC00000"/>
  </sheetPr>
  <dimension ref="A1:N13"/>
  <sheetViews>
    <sheetView zoomScale="140" zoomScaleNormal="140" workbookViewId="0">
      <selection activeCell="I16" sqref="I16"/>
    </sheetView>
  </sheetViews>
  <sheetFormatPr defaultRowHeight="14.4" x14ac:dyDescent="0.3"/>
  <cols>
    <col min="1" max="1" width="5.5546875" bestFit="1" customWidth="1"/>
    <col min="2" max="2" width="10" bestFit="1" customWidth="1"/>
    <col min="3" max="3" width="9.88671875" bestFit="1" customWidth="1"/>
    <col min="4" max="4" width="14.21875" bestFit="1" customWidth="1"/>
    <col min="5" max="5" width="9.44140625" bestFit="1" customWidth="1"/>
    <col min="6" max="6" width="9.6640625" bestFit="1" customWidth="1"/>
    <col min="7" max="7" width="11.88671875" bestFit="1" customWidth="1"/>
    <col min="8" max="8" width="11" bestFit="1" customWidth="1"/>
    <col min="9" max="9" width="9.6640625" bestFit="1" customWidth="1"/>
    <col min="10" max="10" width="13" bestFit="1" customWidth="1"/>
  </cols>
  <sheetData>
    <row r="1" spans="1:14" x14ac:dyDescent="0.3">
      <c r="A1" s="16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8"/>
    </row>
    <row r="2" spans="1:14" ht="15" thickBot="1" x14ac:dyDescent="0.35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</row>
    <row r="3" spans="1:14" ht="15" thickBot="1" x14ac:dyDescent="0.35">
      <c r="A3" s="4"/>
    </row>
    <row r="4" spans="1:14" s="12" customFormat="1" ht="15" thickBot="1" x14ac:dyDescent="0.35">
      <c r="A4" s="7" t="s">
        <v>0</v>
      </c>
      <c r="B4" s="8" t="s">
        <v>1</v>
      </c>
      <c r="C4" s="9" t="s">
        <v>2</v>
      </c>
      <c r="D4" s="10" t="s">
        <v>3</v>
      </c>
      <c r="E4" s="10" t="s">
        <v>15</v>
      </c>
      <c r="F4" s="10" t="s">
        <v>16</v>
      </c>
      <c r="G4" s="10" t="s">
        <v>17</v>
      </c>
      <c r="H4" s="10" t="s">
        <v>18</v>
      </c>
      <c r="I4" s="10" t="s">
        <v>19</v>
      </c>
      <c r="J4" s="11" t="s">
        <v>20</v>
      </c>
    </row>
    <row r="5" spans="1:14" x14ac:dyDescent="0.3">
      <c r="A5" s="5">
        <v>1</v>
      </c>
      <c r="B5" s="5" t="s">
        <v>4</v>
      </c>
      <c r="C5" s="5" t="s">
        <v>9</v>
      </c>
      <c r="D5" s="6">
        <v>42030</v>
      </c>
      <c r="E5" s="5">
        <v>1500</v>
      </c>
      <c r="F5" s="5">
        <v>1200</v>
      </c>
      <c r="G5" s="5">
        <v>1500</v>
      </c>
      <c r="H5" s="5">
        <f>SUM(E5,F5,G5)</f>
        <v>4200</v>
      </c>
      <c r="I5" s="5">
        <f>AVERAGE(E5:G5)</f>
        <v>1400</v>
      </c>
      <c r="J5" s="5" t="str">
        <f>CONCATENATE(B5," ",C5)</f>
        <v>RNM KUMAR</v>
      </c>
    </row>
    <row r="6" spans="1:14" x14ac:dyDescent="0.3">
      <c r="A6" s="3">
        <v>2</v>
      </c>
      <c r="B6" s="3" t="s">
        <v>5</v>
      </c>
      <c r="C6" s="3" t="s">
        <v>10</v>
      </c>
      <c r="D6" s="6">
        <v>42954</v>
      </c>
      <c r="E6" s="3">
        <v>1700</v>
      </c>
      <c r="F6" s="3">
        <v>1800</v>
      </c>
      <c r="G6" s="3">
        <v>2000</v>
      </c>
      <c r="H6" s="3">
        <f>SUM(E6,F6,G6)</f>
        <v>5500</v>
      </c>
      <c r="I6" s="3">
        <f>AVERAGE(E6:G6)</f>
        <v>1833.3333333333333</v>
      </c>
      <c r="J6" s="3" t="str">
        <f>CONCATENATE(B6," ",C6)</f>
        <v>GOPAL VERMA</v>
      </c>
    </row>
    <row r="7" spans="1:14" x14ac:dyDescent="0.3">
      <c r="A7" s="3">
        <v>3</v>
      </c>
      <c r="B7" s="3" t="s">
        <v>6</v>
      </c>
      <c r="C7" s="3" t="s">
        <v>11</v>
      </c>
      <c r="D7" s="6">
        <v>42955</v>
      </c>
      <c r="E7" s="3">
        <v>1800</v>
      </c>
      <c r="F7" s="3">
        <v>1500</v>
      </c>
      <c r="G7" s="3">
        <v>1900</v>
      </c>
      <c r="H7" s="3">
        <f>SUM(E7,F7,G7)</f>
        <v>5200</v>
      </c>
      <c r="I7" s="3">
        <f>AVERAGE(E7:G7)</f>
        <v>1733.3333333333333</v>
      </c>
      <c r="J7" s="3" t="str">
        <f>CONCATENATE(B7," ",C7)</f>
        <v>JOSEPH PAUL</v>
      </c>
    </row>
    <row r="8" spans="1:14" x14ac:dyDescent="0.3">
      <c r="A8" s="3">
        <v>4</v>
      </c>
      <c r="B8" s="3" t="s">
        <v>7</v>
      </c>
      <c r="C8" s="3" t="s">
        <v>12</v>
      </c>
      <c r="D8" s="6">
        <v>42956</v>
      </c>
      <c r="E8" s="3">
        <v>1200</v>
      </c>
      <c r="F8" s="3">
        <v>1500</v>
      </c>
      <c r="G8" s="3">
        <v>1800</v>
      </c>
      <c r="H8" s="3">
        <f>SUM(E8,F8,G8)</f>
        <v>4500</v>
      </c>
      <c r="I8" s="3">
        <f>AVERAGE(E8:G8)</f>
        <v>1500</v>
      </c>
      <c r="J8" s="3" t="str">
        <f>CONCATENATE(B8," ",C8)</f>
        <v>HARI SINGH</v>
      </c>
    </row>
    <row r="9" spans="1:14" x14ac:dyDescent="0.3">
      <c r="A9" s="3">
        <v>5</v>
      </c>
      <c r="B9" s="3" t="s">
        <v>8</v>
      </c>
      <c r="C9" s="3" t="s">
        <v>13</v>
      </c>
      <c r="D9" s="6">
        <v>42957</v>
      </c>
      <c r="E9" s="3">
        <v>2000</v>
      </c>
      <c r="F9" s="3">
        <v>2500</v>
      </c>
      <c r="G9" s="3">
        <v>2900</v>
      </c>
      <c r="H9" s="3">
        <f>SUM(E9,F9,G9)</f>
        <v>7400</v>
      </c>
      <c r="I9" s="3">
        <f>AVERAGE(E9:G9)</f>
        <v>2466.6666666666665</v>
      </c>
      <c r="J9" s="3" t="str">
        <f>CONCATENATE(B9," ",C9)</f>
        <v>RAJA RAM</v>
      </c>
    </row>
    <row r="10" spans="1:14" x14ac:dyDescent="0.3">
      <c r="D10" s="2"/>
    </row>
    <row r="13" spans="1:14" x14ac:dyDescent="0.3">
      <c r="H13" s="1"/>
    </row>
  </sheetData>
  <mergeCells count="1">
    <mergeCell ref="A1:N2"/>
  </mergeCells>
  <conditionalFormatting sqref="H5:H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1048576">
    <cfRule type="duplicateValues" dxfId="2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B3A8-C442-406F-8A1D-671690E6808E}">
  <dimension ref="C4:F10"/>
  <sheetViews>
    <sheetView zoomScale="170" zoomScaleNormal="170" workbookViewId="0">
      <selection activeCell="F5" sqref="F5:F10"/>
    </sheetView>
  </sheetViews>
  <sheetFormatPr defaultRowHeight="14.4" x14ac:dyDescent="0.3"/>
  <cols>
    <col min="3" max="3" width="9.6640625" bestFit="1" customWidth="1"/>
    <col min="6" max="6" width="10.88671875" bestFit="1" customWidth="1"/>
  </cols>
  <sheetData>
    <row r="4" spans="3:6" x14ac:dyDescent="0.3">
      <c r="C4" t="s">
        <v>21</v>
      </c>
      <c r="D4" t="s">
        <v>22</v>
      </c>
      <c r="E4" t="s">
        <v>23</v>
      </c>
      <c r="F4" t="s">
        <v>24</v>
      </c>
    </row>
    <row r="5" spans="3:6" x14ac:dyDescent="0.3">
      <c r="C5" s="13">
        <v>1.0333300000000001</v>
      </c>
      <c r="D5" s="13">
        <f>ROUND(C5,0)</f>
        <v>1</v>
      </c>
      <c r="E5" s="13">
        <f>ROUNDUP(C5,0)</f>
        <v>2</v>
      </c>
      <c r="F5" s="13">
        <f>ROUNDDOWN(C5,0)</f>
        <v>1</v>
      </c>
    </row>
    <row r="6" spans="3:6" x14ac:dyDescent="0.3">
      <c r="C6">
        <v>2.0554999999999999</v>
      </c>
      <c r="D6" s="13">
        <f t="shared" ref="D6:D10" si="0">ROUND(C6,0)</f>
        <v>2</v>
      </c>
      <c r="E6" s="13">
        <f t="shared" ref="E6:E10" si="1">ROUNDUP(C6,0)</f>
        <v>3</v>
      </c>
      <c r="F6" s="13">
        <f t="shared" ref="F6:F10" si="2">ROUNDDOWN(C6,0)</f>
        <v>2</v>
      </c>
    </row>
    <row r="7" spans="3:6" x14ac:dyDescent="0.3">
      <c r="C7">
        <v>2.9999899999999999</v>
      </c>
      <c r="D7" s="13">
        <f t="shared" si="0"/>
        <v>3</v>
      </c>
      <c r="E7" s="13">
        <f t="shared" si="1"/>
        <v>3</v>
      </c>
      <c r="F7" s="13">
        <f t="shared" si="2"/>
        <v>2</v>
      </c>
    </row>
    <row r="8" spans="3:6" x14ac:dyDescent="0.3">
      <c r="C8">
        <v>8.9565000000000001</v>
      </c>
      <c r="D8" s="13">
        <f t="shared" si="0"/>
        <v>9</v>
      </c>
      <c r="E8" s="13">
        <f t="shared" si="1"/>
        <v>9</v>
      </c>
      <c r="F8" s="13">
        <f t="shared" si="2"/>
        <v>8</v>
      </c>
    </row>
    <row r="9" spans="3:6" x14ac:dyDescent="0.3">
      <c r="C9">
        <v>1.333</v>
      </c>
      <c r="D9" s="13">
        <f t="shared" si="0"/>
        <v>1</v>
      </c>
      <c r="E9" s="13">
        <f t="shared" si="1"/>
        <v>2</v>
      </c>
      <c r="F9" s="13">
        <f t="shared" si="2"/>
        <v>1</v>
      </c>
    </row>
    <row r="10" spans="3:6" x14ac:dyDescent="0.3">
      <c r="C10">
        <v>4.556</v>
      </c>
      <c r="D10" s="13">
        <f t="shared" si="0"/>
        <v>5</v>
      </c>
      <c r="E10" s="13">
        <f t="shared" si="1"/>
        <v>5</v>
      </c>
      <c r="F10" s="13">
        <f t="shared" si="2"/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FFDF-AA2A-4865-9EA9-360ABE361DAC}">
  <dimension ref="C5:H16"/>
  <sheetViews>
    <sheetView zoomScale="140" zoomScaleNormal="140" workbookViewId="0">
      <selection activeCell="H5" sqref="H5:H13"/>
    </sheetView>
  </sheetViews>
  <sheetFormatPr defaultRowHeight="14.4" x14ac:dyDescent="0.3"/>
  <cols>
    <col min="4" max="4" width="10.5546875" bestFit="1" customWidth="1"/>
  </cols>
  <sheetData>
    <row r="5" spans="3:8" x14ac:dyDescent="0.3">
      <c r="C5" t="s">
        <v>25</v>
      </c>
      <c r="D5" t="s">
        <v>37</v>
      </c>
      <c r="E5" t="s">
        <v>44</v>
      </c>
      <c r="F5" t="s">
        <v>56</v>
      </c>
      <c r="G5">
        <v>1</v>
      </c>
      <c r="H5">
        <v>1</v>
      </c>
    </row>
    <row r="6" spans="3:8" x14ac:dyDescent="0.3">
      <c r="C6" t="s">
        <v>26</v>
      </c>
      <c r="D6" t="s">
        <v>38</v>
      </c>
      <c r="E6" t="s">
        <v>45</v>
      </c>
      <c r="F6" t="s">
        <v>57</v>
      </c>
      <c r="G6">
        <v>1</v>
      </c>
      <c r="H6">
        <v>2</v>
      </c>
    </row>
    <row r="7" spans="3:8" x14ac:dyDescent="0.3">
      <c r="C7" t="s">
        <v>27</v>
      </c>
      <c r="D7" t="s">
        <v>39</v>
      </c>
      <c r="E7" t="s">
        <v>46</v>
      </c>
      <c r="F7" t="s">
        <v>58</v>
      </c>
      <c r="G7">
        <v>1</v>
      </c>
      <c r="H7">
        <v>3</v>
      </c>
    </row>
    <row r="8" spans="3:8" x14ac:dyDescent="0.3">
      <c r="C8" t="s">
        <v>28</v>
      </c>
      <c r="D8" t="s">
        <v>40</v>
      </c>
      <c r="E8" t="s">
        <v>47</v>
      </c>
      <c r="F8" t="s">
        <v>59</v>
      </c>
      <c r="G8">
        <v>1</v>
      </c>
      <c r="H8">
        <v>4</v>
      </c>
    </row>
    <row r="9" spans="3:8" x14ac:dyDescent="0.3">
      <c r="C9" t="s">
        <v>29</v>
      </c>
      <c r="D9" t="s">
        <v>41</v>
      </c>
      <c r="E9" t="s">
        <v>48</v>
      </c>
      <c r="F9" t="s">
        <v>60</v>
      </c>
      <c r="G9">
        <v>1</v>
      </c>
      <c r="H9">
        <v>5</v>
      </c>
    </row>
    <row r="10" spans="3:8" x14ac:dyDescent="0.3">
      <c r="C10" t="s">
        <v>30</v>
      </c>
      <c r="D10" t="s">
        <v>42</v>
      </c>
      <c r="E10" t="s">
        <v>49</v>
      </c>
      <c r="F10" t="s">
        <v>61</v>
      </c>
      <c r="G10">
        <v>1</v>
      </c>
      <c r="H10">
        <v>6</v>
      </c>
    </row>
    <row r="11" spans="3:8" x14ac:dyDescent="0.3">
      <c r="C11" t="s">
        <v>31</v>
      </c>
      <c r="D11" t="s">
        <v>43</v>
      </c>
      <c r="E11" t="s">
        <v>50</v>
      </c>
      <c r="F11" t="s">
        <v>62</v>
      </c>
      <c r="G11">
        <v>1</v>
      </c>
      <c r="H11">
        <v>7</v>
      </c>
    </row>
    <row r="12" spans="3:8" x14ac:dyDescent="0.3">
      <c r="C12" t="s">
        <v>32</v>
      </c>
      <c r="E12" t="s">
        <v>51</v>
      </c>
      <c r="G12">
        <v>1</v>
      </c>
      <c r="H12">
        <v>8</v>
      </c>
    </row>
    <row r="13" spans="3:8" x14ac:dyDescent="0.3">
      <c r="C13" t="s">
        <v>33</v>
      </c>
      <c r="E13" t="s">
        <v>52</v>
      </c>
      <c r="H13">
        <v>9</v>
      </c>
    </row>
    <row r="14" spans="3:8" x14ac:dyDescent="0.3">
      <c r="C14" t="s">
        <v>34</v>
      </c>
      <c r="E14" t="s">
        <v>53</v>
      </c>
    </row>
    <row r="15" spans="3:8" x14ac:dyDescent="0.3">
      <c r="C15" t="s">
        <v>35</v>
      </c>
      <c r="E15" t="s">
        <v>54</v>
      </c>
    </row>
    <row r="16" spans="3:8" x14ac:dyDescent="0.3">
      <c r="C16" t="s">
        <v>36</v>
      </c>
      <c r="E16" t="s">
        <v>55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8C480-7A6D-42C9-8A69-EF0D0C785C34}">
  <dimension ref="A1:O19"/>
  <sheetViews>
    <sheetView zoomScale="130" zoomScaleNormal="130" workbookViewId="0">
      <selection activeCell="A4" sqref="A4:J19"/>
    </sheetView>
  </sheetViews>
  <sheetFormatPr defaultRowHeight="14.4" x14ac:dyDescent="0.3"/>
  <cols>
    <col min="1" max="1" width="9.88671875" bestFit="1" customWidth="1"/>
    <col min="6" max="7" width="11.109375" customWidth="1"/>
    <col min="8" max="8" width="10.44140625" customWidth="1"/>
    <col min="9" max="9" width="19.5546875" bestFit="1" customWidth="1"/>
    <col min="12" max="12" width="9.88671875" bestFit="1" customWidth="1"/>
    <col min="13" max="13" width="10.44140625" customWidth="1"/>
  </cols>
  <sheetData>
    <row r="1" spans="1:15" ht="23.4" customHeight="1" x14ac:dyDescent="0.3">
      <c r="A1" s="15" t="s">
        <v>63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4" spans="1:15" ht="15.6" customHeight="1" x14ac:dyDescent="0.3"/>
    <row r="5" spans="1:15" x14ac:dyDescent="0.3">
      <c r="A5" s="34" t="s">
        <v>64</v>
      </c>
      <c r="B5" s="24" t="s">
        <v>65</v>
      </c>
      <c r="C5" s="24" t="s">
        <v>66</v>
      </c>
      <c r="D5" s="24" t="s">
        <v>67</v>
      </c>
      <c r="E5" s="24" t="s">
        <v>68</v>
      </c>
      <c r="F5" s="24" t="s">
        <v>69</v>
      </c>
      <c r="G5" s="24" t="s">
        <v>70</v>
      </c>
      <c r="H5" s="24" t="s">
        <v>71</v>
      </c>
      <c r="I5" s="25" t="s">
        <v>72</v>
      </c>
      <c r="L5" s="40" t="s">
        <v>64</v>
      </c>
      <c r="M5" s="41" t="s">
        <v>71</v>
      </c>
    </row>
    <row r="6" spans="1:15" x14ac:dyDescent="0.3">
      <c r="A6" s="22" t="s">
        <v>73</v>
      </c>
      <c r="B6" s="3" t="s">
        <v>86</v>
      </c>
      <c r="C6" s="3">
        <v>16</v>
      </c>
      <c r="D6" s="3">
        <v>10</v>
      </c>
      <c r="E6" s="3" t="s">
        <v>88</v>
      </c>
      <c r="F6" s="3">
        <v>84</v>
      </c>
      <c r="G6" s="3">
        <v>79</v>
      </c>
      <c r="H6" s="3">
        <v>77</v>
      </c>
      <c r="I6" s="23" t="s">
        <v>93</v>
      </c>
      <c r="L6" s="42" t="s">
        <v>85</v>
      </c>
      <c r="M6" s="43">
        <f>VLOOKUP(Table3[[#This Row],[Name]],Table1[],8,0)</f>
        <v>98</v>
      </c>
    </row>
    <row r="7" spans="1:15" x14ac:dyDescent="0.3">
      <c r="A7" s="22" t="s">
        <v>85</v>
      </c>
      <c r="B7" s="3" t="s">
        <v>87</v>
      </c>
      <c r="C7" s="3">
        <v>14</v>
      </c>
      <c r="D7" s="3">
        <v>8</v>
      </c>
      <c r="E7" s="3" t="s">
        <v>91</v>
      </c>
      <c r="F7" s="3">
        <v>91</v>
      </c>
      <c r="G7" s="3">
        <v>96</v>
      </c>
      <c r="H7" s="3">
        <v>98</v>
      </c>
      <c r="I7" s="23" t="s">
        <v>106</v>
      </c>
      <c r="L7" s="42" t="s">
        <v>77</v>
      </c>
      <c r="M7" s="43">
        <f>VLOOKUP(Table3[[#This Row],[Name]],Table1[],8,0)</f>
        <v>96</v>
      </c>
    </row>
    <row r="8" spans="1:15" x14ac:dyDescent="0.3">
      <c r="A8" s="22" t="s">
        <v>77</v>
      </c>
      <c r="B8" s="3" t="s">
        <v>87</v>
      </c>
      <c r="C8" s="3">
        <v>16</v>
      </c>
      <c r="D8" s="3">
        <v>10</v>
      </c>
      <c r="E8" s="3" t="s">
        <v>91</v>
      </c>
      <c r="F8" s="3">
        <v>88</v>
      </c>
      <c r="G8" s="3">
        <v>92</v>
      </c>
      <c r="H8" s="3">
        <v>96</v>
      </c>
      <c r="I8" s="23" t="s">
        <v>101</v>
      </c>
      <c r="L8" s="42" t="s">
        <v>82</v>
      </c>
      <c r="M8" s="43">
        <f>VLOOKUP(Table3[[#This Row],[Name]],Table1[],8,0)</f>
        <v>89</v>
      </c>
    </row>
    <row r="9" spans="1:15" x14ac:dyDescent="0.3">
      <c r="A9" s="22" t="s">
        <v>80</v>
      </c>
      <c r="B9" s="3" t="s">
        <v>86</v>
      </c>
      <c r="C9" s="3">
        <v>15</v>
      </c>
      <c r="D9" s="3">
        <v>9</v>
      </c>
      <c r="E9" s="3" t="s">
        <v>91</v>
      </c>
      <c r="F9" s="3">
        <v>87</v>
      </c>
      <c r="G9" s="3">
        <v>89</v>
      </c>
      <c r="H9" s="3">
        <v>96</v>
      </c>
      <c r="I9" s="23" t="s">
        <v>97</v>
      </c>
      <c r="L9" s="42" t="s">
        <v>78</v>
      </c>
      <c r="M9" s="43">
        <f>VLOOKUP(Table3[[#This Row],[Name]],Table1[],8,0)</f>
        <v>80</v>
      </c>
    </row>
    <row r="10" spans="1:15" x14ac:dyDescent="0.3">
      <c r="A10" s="22" t="s">
        <v>81</v>
      </c>
      <c r="B10" s="3" t="s">
        <v>87</v>
      </c>
      <c r="C10" s="3">
        <v>17</v>
      </c>
      <c r="D10" s="3">
        <v>10</v>
      </c>
      <c r="E10" s="3" t="s">
        <v>89</v>
      </c>
      <c r="F10" s="3">
        <v>70</v>
      </c>
      <c r="G10" s="3">
        <v>90</v>
      </c>
      <c r="H10" s="3">
        <v>92</v>
      </c>
      <c r="I10" s="23" t="s">
        <v>103</v>
      </c>
      <c r="L10" s="30" t="s">
        <v>73</v>
      </c>
      <c r="M10" s="29">
        <f>VLOOKUP(Table3[[#This Row],[Name]],Table1[],8,0)</f>
        <v>77</v>
      </c>
    </row>
    <row r="11" spans="1:15" x14ac:dyDescent="0.3">
      <c r="A11" s="22" t="s">
        <v>74</v>
      </c>
      <c r="B11" s="3" t="s">
        <v>86</v>
      </c>
      <c r="C11" s="3">
        <v>11</v>
      </c>
      <c r="D11" s="3">
        <v>5</v>
      </c>
      <c r="E11" s="3" t="s">
        <v>89</v>
      </c>
      <c r="F11" s="3">
        <v>82</v>
      </c>
      <c r="G11" s="3">
        <v>83</v>
      </c>
      <c r="H11" s="3">
        <v>91</v>
      </c>
      <c r="I11" s="23" t="s">
        <v>94</v>
      </c>
    </row>
    <row r="12" spans="1:15" x14ac:dyDescent="0.3">
      <c r="A12" s="22" t="s">
        <v>79</v>
      </c>
      <c r="B12" s="3" t="s">
        <v>87</v>
      </c>
      <c r="C12" s="3">
        <v>14</v>
      </c>
      <c r="D12" s="3">
        <v>8</v>
      </c>
      <c r="E12" s="3" t="s">
        <v>89</v>
      </c>
      <c r="F12" s="3">
        <v>90</v>
      </c>
      <c r="G12" s="3">
        <v>86</v>
      </c>
      <c r="H12" s="3">
        <v>89</v>
      </c>
      <c r="I12" s="23" t="s">
        <v>102</v>
      </c>
    </row>
    <row r="13" spans="1:15" x14ac:dyDescent="0.3">
      <c r="A13" s="22" t="s">
        <v>82</v>
      </c>
      <c r="B13" s="3" t="s">
        <v>86</v>
      </c>
      <c r="C13" s="3">
        <v>12</v>
      </c>
      <c r="D13" s="3">
        <v>7</v>
      </c>
      <c r="E13" s="3" t="s">
        <v>90</v>
      </c>
      <c r="F13" s="3">
        <v>86</v>
      </c>
      <c r="G13" s="3">
        <v>92</v>
      </c>
      <c r="H13" s="3">
        <v>89</v>
      </c>
      <c r="I13" s="23" t="s">
        <v>98</v>
      </c>
    </row>
    <row r="14" spans="1:15" x14ac:dyDescent="0.3">
      <c r="A14" s="22" t="s">
        <v>75</v>
      </c>
      <c r="B14" s="3" t="s">
        <v>87</v>
      </c>
      <c r="C14" s="3">
        <v>15</v>
      </c>
      <c r="D14" s="3">
        <v>8</v>
      </c>
      <c r="E14" s="3" t="s">
        <v>90</v>
      </c>
      <c r="F14" s="3">
        <v>81</v>
      </c>
      <c r="G14" s="3">
        <v>78</v>
      </c>
      <c r="H14" s="3">
        <v>88</v>
      </c>
      <c r="I14" s="23" t="s">
        <v>100</v>
      </c>
    </row>
    <row r="15" spans="1:15" x14ac:dyDescent="0.3">
      <c r="A15" s="22" t="s">
        <v>83</v>
      </c>
      <c r="B15" s="3" t="s">
        <v>87</v>
      </c>
      <c r="C15" s="3">
        <v>16</v>
      </c>
      <c r="D15" s="3">
        <v>10</v>
      </c>
      <c r="E15" s="3" t="s">
        <v>90</v>
      </c>
      <c r="F15" s="3">
        <v>81</v>
      </c>
      <c r="G15" s="3">
        <v>80</v>
      </c>
      <c r="H15" s="3">
        <v>87</v>
      </c>
      <c r="I15" s="23" t="s">
        <v>104</v>
      </c>
    </row>
    <row r="16" spans="1:15" x14ac:dyDescent="0.3">
      <c r="A16" s="22" t="s">
        <v>84</v>
      </c>
      <c r="B16" s="3" t="s">
        <v>87</v>
      </c>
      <c r="C16" s="3">
        <v>16</v>
      </c>
      <c r="D16" s="3">
        <v>10</v>
      </c>
      <c r="E16" s="3" t="s">
        <v>88</v>
      </c>
      <c r="F16" s="3">
        <v>70</v>
      </c>
      <c r="G16" s="3">
        <v>87</v>
      </c>
      <c r="H16" s="3">
        <v>85</v>
      </c>
      <c r="I16" s="23" t="s">
        <v>105</v>
      </c>
    </row>
    <row r="17" spans="1:9" x14ac:dyDescent="0.3">
      <c r="A17" s="22" t="s">
        <v>78</v>
      </c>
      <c r="B17" s="3" t="s">
        <v>86</v>
      </c>
      <c r="C17" s="3">
        <v>16</v>
      </c>
      <c r="D17" s="3">
        <v>10</v>
      </c>
      <c r="E17" s="3" t="s">
        <v>92</v>
      </c>
      <c r="F17" s="3">
        <v>82</v>
      </c>
      <c r="G17" s="3">
        <v>81</v>
      </c>
      <c r="H17" s="3">
        <v>80</v>
      </c>
      <c r="I17" s="23" t="s">
        <v>96</v>
      </c>
    </row>
    <row r="18" spans="1:9" x14ac:dyDescent="0.3">
      <c r="A18" s="22" t="s">
        <v>76</v>
      </c>
      <c r="B18" s="3" t="s">
        <v>86</v>
      </c>
      <c r="C18" s="3">
        <v>14</v>
      </c>
      <c r="D18" s="3">
        <v>8</v>
      </c>
      <c r="E18" s="3" t="s">
        <v>88</v>
      </c>
      <c r="F18" s="3">
        <v>70</v>
      </c>
      <c r="G18" s="3">
        <v>75</v>
      </c>
      <c r="H18" s="3">
        <v>79</v>
      </c>
      <c r="I18" s="23" t="s">
        <v>95</v>
      </c>
    </row>
    <row r="19" spans="1:9" x14ac:dyDescent="0.3">
      <c r="A19" s="26" t="s">
        <v>4</v>
      </c>
      <c r="B19" s="27" t="s">
        <v>86</v>
      </c>
      <c r="C19" s="27">
        <v>16</v>
      </c>
      <c r="D19" s="27">
        <v>10</v>
      </c>
      <c r="E19" s="27" t="s">
        <v>91</v>
      </c>
      <c r="F19" s="27">
        <v>86</v>
      </c>
      <c r="G19" s="27">
        <v>81</v>
      </c>
      <c r="H19" s="27">
        <v>77</v>
      </c>
      <c r="I19" s="28" t="s">
        <v>99</v>
      </c>
    </row>
  </sheetData>
  <mergeCells count="1">
    <mergeCell ref="A1:O2"/>
  </mergeCells>
  <hyperlinks>
    <hyperlink ref="I6" r:id="rId1" xr:uid="{2D3622C9-6EC0-48D9-9AEC-697A5E466C5F}"/>
    <hyperlink ref="I11" r:id="rId2" xr:uid="{99143A0A-2552-4AB2-9176-C6C3653B107C}"/>
    <hyperlink ref="I14" r:id="rId3" xr:uid="{76A97883-0BB8-4337-900C-2428B57D5BEF}"/>
    <hyperlink ref="I18" r:id="rId4" xr:uid="{24CE4828-ED41-4F03-8415-1C38C336AE58}"/>
    <hyperlink ref="I8" r:id="rId5" xr:uid="{525B4DD8-AD84-48BE-950F-6D5200CDC2B9}"/>
    <hyperlink ref="I17" r:id="rId6" xr:uid="{2DCB7C72-9DA1-4C2C-9B50-F8311D9A315F}"/>
    <hyperlink ref="I12" r:id="rId7" xr:uid="{DBC9147A-4A4B-4E95-B3B3-5AF396EB101C}"/>
    <hyperlink ref="I9" r:id="rId8" xr:uid="{F5F67641-43AD-4361-AD62-1FB02BF3F24B}"/>
    <hyperlink ref="I10" r:id="rId9" xr:uid="{E5EE2B8E-21A3-4CE9-9B81-C36E8C52F194}"/>
    <hyperlink ref="I13" r:id="rId10" xr:uid="{C0812C0B-A1AF-4C71-8691-A7F40EB2A916}"/>
    <hyperlink ref="I19" r:id="rId11" xr:uid="{DB26497A-D7BD-4E0B-8734-68072EBEDAA3}"/>
    <hyperlink ref="I15" r:id="rId12" xr:uid="{83F779B8-C3AF-4150-B1BF-E774414E988F}"/>
    <hyperlink ref="I16" r:id="rId13" xr:uid="{3D71606A-A887-49F6-92A2-9A393E894A01}"/>
    <hyperlink ref="I7" r:id="rId14" xr:uid="{49A8B8CA-E1F5-4F45-91D4-DBB9A716DD2B}"/>
    <hyperlink ref="A5" location="Names!A1" display="Name" xr:uid="{9BE4064F-084A-459B-8C82-D8245F2780FF}"/>
  </hyperlinks>
  <pageMargins left="0.7" right="0.7" top="0.75" bottom="0.75" header="0.3" footer="0.3"/>
  <tableParts count="2">
    <tablePart r:id="rId15"/>
    <tablePart r:id="rId1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88A8-32EB-4E44-A32C-4F5644D39860}">
  <dimension ref="A1"/>
  <sheetViews>
    <sheetView zoomScale="140" zoomScaleNormal="140"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D90AA-0BEC-4A1A-83E1-D6C948FEFF23}">
  <dimension ref="A3:B17"/>
  <sheetViews>
    <sheetView zoomScale="150" zoomScaleNormal="150" workbookViewId="0">
      <selection activeCell="C6" sqref="C6"/>
    </sheetView>
  </sheetViews>
  <sheetFormatPr defaultRowHeight="14.4" x14ac:dyDescent="0.3"/>
  <cols>
    <col min="1" max="1" width="19.77734375" bestFit="1" customWidth="1"/>
    <col min="2" max="2" width="10.109375" bestFit="1" customWidth="1"/>
  </cols>
  <sheetData>
    <row r="3" spans="1:2" x14ac:dyDescent="0.3">
      <c r="A3" s="35" t="s">
        <v>72</v>
      </c>
      <c r="B3" s="37" t="s">
        <v>64</v>
      </c>
    </row>
    <row r="4" spans="1:2" x14ac:dyDescent="0.3">
      <c r="A4" s="36" t="s">
        <v>93</v>
      </c>
      <c r="B4" s="37" t="s">
        <v>73</v>
      </c>
    </row>
    <row r="5" spans="1:2" x14ac:dyDescent="0.3">
      <c r="A5" s="14" t="s">
        <v>106</v>
      </c>
      <c r="B5" s="37" t="s">
        <v>85</v>
      </c>
    </row>
    <row r="6" spans="1:2" x14ac:dyDescent="0.3">
      <c r="A6" s="36" t="s">
        <v>101</v>
      </c>
      <c r="B6" s="37" t="s">
        <v>77</v>
      </c>
    </row>
    <row r="7" spans="1:2" x14ac:dyDescent="0.3">
      <c r="A7" s="14" t="s">
        <v>97</v>
      </c>
      <c r="B7" s="37" t="s">
        <v>80</v>
      </c>
    </row>
    <row r="8" spans="1:2" x14ac:dyDescent="0.3">
      <c r="A8" s="36" t="s">
        <v>103</v>
      </c>
      <c r="B8" s="37" t="s">
        <v>81</v>
      </c>
    </row>
    <row r="9" spans="1:2" x14ac:dyDescent="0.3">
      <c r="A9" s="14" t="s">
        <v>94</v>
      </c>
      <c r="B9" s="37" t="s">
        <v>74</v>
      </c>
    </row>
    <row r="10" spans="1:2" x14ac:dyDescent="0.3">
      <c r="A10" s="36" t="s">
        <v>102</v>
      </c>
      <c r="B10" s="37" t="s">
        <v>79</v>
      </c>
    </row>
    <row r="11" spans="1:2" x14ac:dyDescent="0.3">
      <c r="A11" s="14" t="s">
        <v>98</v>
      </c>
      <c r="B11" s="37" t="s">
        <v>82</v>
      </c>
    </row>
    <row r="12" spans="1:2" x14ac:dyDescent="0.3">
      <c r="A12" s="36" t="s">
        <v>100</v>
      </c>
      <c r="B12" s="37" t="s">
        <v>75</v>
      </c>
    </row>
    <row r="13" spans="1:2" x14ac:dyDescent="0.3">
      <c r="A13" s="14" t="s">
        <v>104</v>
      </c>
      <c r="B13" s="37" t="s">
        <v>83</v>
      </c>
    </row>
    <row r="14" spans="1:2" x14ac:dyDescent="0.3">
      <c r="A14" s="36" t="s">
        <v>105</v>
      </c>
      <c r="B14" s="37" t="s">
        <v>84</v>
      </c>
    </row>
    <row r="15" spans="1:2" x14ac:dyDescent="0.3">
      <c r="A15" s="14" t="s">
        <v>96</v>
      </c>
      <c r="B15" s="37" t="s">
        <v>78</v>
      </c>
    </row>
    <row r="16" spans="1:2" x14ac:dyDescent="0.3">
      <c r="A16" s="36" t="s">
        <v>95</v>
      </c>
      <c r="B16" s="37" t="s">
        <v>76</v>
      </c>
    </row>
    <row r="17" spans="1:2" x14ac:dyDescent="0.3">
      <c r="A17" s="14" t="s">
        <v>99</v>
      </c>
      <c r="B17" s="37" t="s">
        <v>4</v>
      </c>
    </row>
  </sheetData>
  <hyperlinks>
    <hyperlink ref="A4" r:id="rId1" xr:uid="{D4EC3ADE-CEBD-435D-9942-6E551A311735}"/>
    <hyperlink ref="A9" r:id="rId2" xr:uid="{48B75B42-ED9B-43D3-9271-9EFFCEE12460}"/>
    <hyperlink ref="A12" r:id="rId3" xr:uid="{FB06B119-B0BF-48B1-AEED-8445570721F2}"/>
    <hyperlink ref="A16" r:id="rId4" xr:uid="{3E764960-727D-4293-A3C0-7CB54093BDD6}"/>
    <hyperlink ref="A6" r:id="rId5" xr:uid="{86ECCD37-DEF7-4779-BE39-E431C5B96DE9}"/>
    <hyperlink ref="A15" r:id="rId6" xr:uid="{37346772-F416-4144-A226-4646734A095A}"/>
    <hyperlink ref="A10" r:id="rId7" xr:uid="{5A9DCA77-DF34-4BC3-A06C-63D24386C55D}"/>
    <hyperlink ref="A7" r:id="rId8" xr:uid="{E996AD25-27B6-41BD-B950-BC0A08824D4A}"/>
    <hyperlink ref="A8" r:id="rId9" xr:uid="{F7001F0E-885B-4AB5-92AF-A3A953AF273D}"/>
    <hyperlink ref="A11" r:id="rId10" xr:uid="{D19C83F5-A42D-427E-9220-02E4858D9127}"/>
    <hyperlink ref="A17" r:id="rId11" xr:uid="{01C8F64F-7164-4692-B8EA-328B5EB0A924}"/>
    <hyperlink ref="A13" r:id="rId12" xr:uid="{C1BC5ABA-8C2A-4D79-9958-D5564EDE277E}"/>
    <hyperlink ref="A14" r:id="rId13" xr:uid="{D5283E0E-A2DD-43D1-97D5-39AEBBCA0001}"/>
    <hyperlink ref="A5" r:id="rId14" xr:uid="{1466ECD3-8E75-4C30-8C55-B5782BD5413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FBF2-E09F-456F-A7B8-80C13601CF7E}">
  <dimension ref="A2:B16"/>
  <sheetViews>
    <sheetView zoomScale="160" zoomScaleNormal="160" workbookViewId="0">
      <selection activeCell="K4" sqref="K4"/>
    </sheetView>
  </sheetViews>
  <sheetFormatPr defaultRowHeight="14.4" x14ac:dyDescent="0.3"/>
  <sheetData>
    <row r="2" spans="1:2" x14ac:dyDescent="0.3">
      <c r="A2" s="34" t="s">
        <v>64</v>
      </c>
      <c r="B2" s="35" t="s">
        <v>71</v>
      </c>
    </row>
    <row r="3" spans="1:2" x14ac:dyDescent="0.3">
      <c r="A3" s="22" t="s">
        <v>73</v>
      </c>
      <c r="B3" s="38">
        <v>99</v>
      </c>
    </row>
    <row r="4" spans="1:2" x14ac:dyDescent="0.3">
      <c r="A4" s="22" t="s">
        <v>85</v>
      </c>
      <c r="B4" s="39">
        <v>98</v>
      </c>
    </row>
    <row r="5" spans="1:2" x14ac:dyDescent="0.3">
      <c r="A5" s="22" t="s">
        <v>77</v>
      </c>
      <c r="B5" s="38">
        <v>96</v>
      </c>
    </row>
    <row r="6" spans="1:2" x14ac:dyDescent="0.3">
      <c r="A6" s="22" t="s">
        <v>80</v>
      </c>
      <c r="B6" s="39">
        <v>96</v>
      </c>
    </row>
    <row r="7" spans="1:2" x14ac:dyDescent="0.3">
      <c r="A7" s="22" t="s">
        <v>81</v>
      </c>
      <c r="B7" s="38">
        <v>92</v>
      </c>
    </row>
    <row r="8" spans="1:2" x14ac:dyDescent="0.3">
      <c r="A8" s="22" t="s">
        <v>74</v>
      </c>
      <c r="B8" s="39">
        <v>91</v>
      </c>
    </row>
    <row r="9" spans="1:2" x14ac:dyDescent="0.3">
      <c r="A9" s="22" t="s">
        <v>79</v>
      </c>
      <c r="B9" s="38">
        <v>89</v>
      </c>
    </row>
    <row r="10" spans="1:2" x14ac:dyDescent="0.3">
      <c r="A10" s="22" t="s">
        <v>82</v>
      </c>
      <c r="B10" s="39">
        <v>89</v>
      </c>
    </row>
    <row r="11" spans="1:2" x14ac:dyDescent="0.3">
      <c r="A11" s="22" t="s">
        <v>75</v>
      </c>
      <c r="B11" s="38">
        <v>88</v>
      </c>
    </row>
    <row r="12" spans="1:2" x14ac:dyDescent="0.3">
      <c r="A12" s="22" t="s">
        <v>83</v>
      </c>
      <c r="B12" s="39">
        <v>87</v>
      </c>
    </row>
    <row r="13" spans="1:2" x14ac:dyDescent="0.3">
      <c r="A13" s="22" t="s">
        <v>84</v>
      </c>
      <c r="B13" s="38">
        <v>85</v>
      </c>
    </row>
    <row r="14" spans="1:2" x14ac:dyDescent="0.3">
      <c r="A14" s="22" t="s">
        <v>78</v>
      </c>
      <c r="B14" s="39">
        <v>80</v>
      </c>
    </row>
    <row r="15" spans="1:2" x14ac:dyDescent="0.3">
      <c r="A15" s="22" t="s">
        <v>76</v>
      </c>
      <c r="B15" s="38">
        <v>79</v>
      </c>
    </row>
    <row r="16" spans="1:2" x14ac:dyDescent="0.3">
      <c r="A16" s="26" t="s">
        <v>4</v>
      </c>
      <c r="B16" s="39">
        <v>77</v>
      </c>
    </row>
  </sheetData>
  <hyperlinks>
    <hyperlink ref="A2" location="Names!A1" display="Name" xr:uid="{4D814738-E075-4D83-9997-3E40DD609B77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71F2-CC2D-4965-BC0E-578FDDE0CC5B}">
  <dimension ref="A1:B6"/>
  <sheetViews>
    <sheetView tabSelected="1" zoomScaleNormal="100" workbookViewId="0">
      <selection activeCell="E17" sqref="E17"/>
    </sheetView>
  </sheetViews>
  <sheetFormatPr defaultRowHeight="14.4" x14ac:dyDescent="0.3"/>
  <cols>
    <col min="1" max="1" width="12.44140625" bestFit="1" customWidth="1"/>
    <col min="2" max="2" width="15" bestFit="1" customWidth="1"/>
    <col min="3" max="4" width="10.5546875" bestFit="1" customWidth="1"/>
  </cols>
  <sheetData>
    <row r="1" spans="1:2" x14ac:dyDescent="0.3">
      <c r="A1" s="44" t="s">
        <v>69</v>
      </c>
      <c r="B1" s="45">
        <v>90</v>
      </c>
    </row>
    <row r="3" spans="1:2" x14ac:dyDescent="0.3">
      <c r="A3" s="44" t="s">
        <v>111</v>
      </c>
      <c r="B3" t="s">
        <v>113</v>
      </c>
    </row>
    <row r="4" spans="1:2" x14ac:dyDescent="0.3">
      <c r="A4" s="45" t="s">
        <v>87</v>
      </c>
      <c r="B4" s="46">
        <v>89</v>
      </c>
    </row>
    <row r="5" spans="1:2" x14ac:dyDescent="0.3">
      <c r="A5" s="47" t="s">
        <v>89</v>
      </c>
      <c r="B5" s="46">
        <v>89</v>
      </c>
    </row>
    <row r="6" spans="1:2" x14ac:dyDescent="0.3">
      <c r="A6" s="45" t="s">
        <v>112</v>
      </c>
      <c r="B6" s="46">
        <v>89</v>
      </c>
    </row>
  </sheetData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FACC-E5BC-4CB9-8D40-1CB651E33EC3}">
  <dimension ref="D6:L20"/>
  <sheetViews>
    <sheetView zoomScale="130" zoomScaleNormal="130" workbookViewId="0">
      <selection activeCell="K3" sqref="K3"/>
    </sheetView>
  </sheetViews>
  <sheetFormatPr defaultRowHeight="14.4" x14ac:dyDescent="0.3"/>
  <cols>
    <col min="12" max="12" width="19.5546875" bestFit="1" customWidth="1"/>
  </cols>
  <sheetData>
    <row r="6" spans="4:12" x14ac:dyDescent="0.3">
      <c r="D6" s="34" t="s">
        <v>64</v>
      </c>
      <c r="E6" s="24" t="s">
        <v>65</v>
      </c>
      <c r="F6" s="24" t="s">
        <v>66</v>
      </c>
      <c r="G6" s="24" t="s">
        <v>67</v>
      </c>
      <c r="H6" s="24" t="s">
        <v>68</v>
      </c>
      <c r="I6" s="24" t="s">
        <v>69</v>
      </c>
      <c r="J6" s="24" t="s">
        <v>70</v>
      </c>
      <c r="K6" s="24" t="s">
        <v>71</v>
      </c>
      <c r="L6" s="25" t="s">
        <v>72</v>
      </c>
    </row>
    <row r="7" spans="4:12" x14ac:dyDescent="0.3">
      <c r="D7" s="22" t="s">
        <v>73</v>
      </c>
      <c r="E7" s="3" t="s">
        <v>86</v>
      </c>
      <c r="F7" s="3">
        <v>16</v>
      </c>
      <c r="G7" s="3">
        <v>10</v>
      </c>
      <c r="H7" s="3" t="s">
        <v>88</v>
      </c>
      <c r="I7" s="3">
        <v>84</v>
      </c>
      <c r="J7" s="3">
        <v>79</v>
      </c>
      <c r="K7" s="3">
        <v>77</v>
      </c>
      <c r="L7" s="23" t="s">
        <v>93</v>
      </c>
    </row>
    <row r="8" spans="4:12" x14ac:dyDescent="0.3">
      <c r="D8" s="22" t="s">
        <v>85</v>
      </c>
      <c r="E8" s="3" t="s">
        <v>87</v>
      </c>
      <c r="F8" s="3">
        <v>14</v>
      </c>
      <c r="G8" s="3">
        <v>8</v>
      </c>
      <c r="H8" s="3" t="s">
        <v>91</v>
      </c>
      <c r="I8" s="3">
        <v>91</v>
      </c>
      <c r="J8" s="3">
        <v>96</v>
      </c>
      <c r="K8" s="3">
        <v>98</v>
      </c>
      <c r="L8" s="23" t="s">
        <v>106</v>
      </c>
    </row>
    <row r="9" spans="4:12" x14ac:dyDescent="0.3">
      <c r="D9" s="22" t="s">
        <v>77</v>
      </c>
      <c r="E9" s="3" t="s">
        <v>87</v>
      </c>
      <c r="F9" s="3">
        <v>16</v>
      </c>
      <c r="G9" s="3">
        <v>10</v>
      </c>
      <c r="H9" s="3" t="s">
        <v>91</v>
      </c>
      <c r="I9" s="3">
        <v>88</v>
      </c>
      <c r="J9" s="3">
        <v>92</v>
      </c>
      <c r="K9" s="3">
        <v>96</v>
      </c>
      <c r="L9" s="23" t="s">
        <v>101</v>
      </c>
    </row>
    <row r="10" spans="4:12" x14ac:dyDescent="0.3">
      <c r="D10" s="22" t="s">
        <v>80</v>
      </c>
      <c r="E10" s="3" t="s">
        <v>86</v>
      </c>
      <c r="F10" s="3">
        <v>15</v>
      </c>
      <c r="G10" s="3">
        <v>9</v>
      </c>
      <c r="H10" s="3" t="s">
        <v>91</v>
      </c>
      <c r="I10" s="3">
        <v>87</v>
      </c>
      <c r="J10" s="3">
        <v>89</v>
      </c>
      <c r="K10" s="3">
        <v>96</v>
      </c>
      <c r="L10" s="23" t="s">
        <v>97</v>
      </c>
    </row>
    <row r="11" spans="4:12" x14ac:dyDescent="0.3">
      <c r="D11" s="22" t="s">
        <v>81</v>
      </c>
      <c r="E11" s="3" t="s">
        <v>87</v>
      </c>
      <c r="F11" s="3">
        <v>17</v>
      </c>
      <c r="G11" s="3">
        <v>10</v>
      </c>
      <c r="H11" s="3" t="s">
        <v>89</v>
      </c>
      <c r="I11" s="3">
        <v>70</v>
      </c>
      <c r="J11" s="3">
        <v>90</v>
      </c>
      <c r="K11" s="3">
        <v>92</v>
      </c>
      <c r="L11" s="23" t="s">
        <v>103</v>
      </c>
    </row>
    <row r="12" spans="4:12" x14ac:dyDescent="0.3">
      <c r="D12" s="22" t="s">
        <v>74</v>
      </c>
      <c r="E12" s="3" t="s">
        <v>86</v>
      </c>
      <c r="F12" s="3">
        <v>11</v>
      </c>
      <c r="G12" s="3">
        <v>5</v>
      </c>
      <c r="H12" s="3" t="s">
        <v>89</v>
      </c>
      <c r="I12" s="3">
        <v>82</v>
      </c>
      <c r="J12" s="3">
        <v>83</v>
      </c>
      <c r="K12" s="3">
        <v>91</v>
      </c>
      <c r="L12" s="23" t="s">
        <v>94</v>
      </c>
    </row>
    <row r="13" spans="4:12" x14ac:dyDescent="0.3">
      <c r="D13" s="22" t="s">
        <v>79</v>
      </c>
      <c r="E13" s="3" t="s">
        <v>87</v>
      </c>
      <c r="F13" s="3">
        <v>14</v>
      </c>
      <c r="G13" s="3">
        <v>8</v>
      </c>
      <c r="H13" s="3" t="s">
        <v>89</v>
      </c>
      <c r="I13" s="3">
        <v>90</v>
      </c>
      <c r="J13" s="3">
        <v>86</v>
      </c>
      <c r="K13" s="3">
        <v>89</v>
      </c>
      <c r="L13" s="23" t="s">
        <v>102</v>
      </c>
    </row>
    <row r="14" spans="4:12" x14ac:dyDescent="0.3">
      <c r="D14" s="22" t="s">
        <v>82</v>
      </c>
      <c r="E14" s="3" t="s">
        <v>86</v>
      </c>
      <c r="F14" s="3">
        <v>12</v>
      </c>
      <c r="G14" s="3">
        <v>7</v>
      </c>
      <c r="H14" s="3" t="s">
        <v>90</v>
      </c>
      <c r="I14" s="3">
        <v>86</v>
      </c>
      <c r="J14" s="3">
        <v>92</v>
      </c>
      <c r="K14" s="3">
        <v>89</v>
      </c>
      <c r="L14" s="23" t="s">
        <v>98</v>
      </c>
    </row>
    <row r="15" spans="4:12" x14ac:dyDescent="0.3">
      <c r="D15" s="22" t="s">
        <v>75</v>
      </c>
      <c r="E15" s="3" t="s">
        <v>87</v>
      </c>
      <c r="F15" s="3">
        <v>15</v>
      </c>
      <c r="G15" s="3">
        <v>8</v>
      </c>
      <c r="H15" s="3" t="s">
        <v>90</v>
      </c>
      <c r="I15" s="3">
        <v>81</v>
      </c>
      <c r="J15" s="3">
        <v>78</v>
      </c>
      <c r="K15" s="3">
        <v>88</v>
      </c>
      <c r="L15" s="23" t="s">
        <v>100</v>
      </c>
    </row>
    <row r="16" spans="4:12" x14ac:dyDescent="0.3">
      <c r="D16" s="22" t="s">
        <v>83</v>
      </c>
      <c r="E16" s="3" t="s">
        <v>87</v>
      </c>
      <c r="F16" s="3">
        <v>16</v>
      </c>
      <c r="G16" s="3">
        <v>10</v>
      </c>
      <c r="H16" s="3" t="s">
        <v>90</v>
      </c>
      <c r="I16" s="3">
        <v>81</v>
      </c>
      <c r="J16" s="3">
        <v>80</v>
      </c>
      <c r="K16" s="3">
        <v>87</v>
      </c>
      <c r="L16" s="23" t="s">
        <v>104</v>
      </c>
    </row>
    <row r="17" spans="4:12" x14ac:dyDescent="0.3">
      <c r="D17" s="22" t="s">
        <v>84</v>
      </c>
      <c r="E17" s="3" t="s">
        <v>87</v>
      </c>
      <c r="F17" s="3">
        <v>16</v>
      </c>
      <c r="G17" s="3">
        <v>10</v>
      </c>
      <c r="H17" s="3" t="s">
        <v>88</v>
      </c>
      <c r="I17" s="3">
        <v>70</v>
      </c>
      <c r="J17" s="3">
        <v>87</v>
      </c>
      <c r="K17" s="3">
        <v>85</v>
      </c>
      <c r="L17" s="23" t="s">
        <v>105</v>
      </c>
    </row>
    <row r="18" spans="4:12" x14ac:dyDescent="0.3">
      <c r="D18" s="22" t="s">
        <v>78</v>
      </c>
      <c r="E18" s="3" t="s">
        <v>86</v>
      </c>
      <c r="F18" s="3">
        <v>16</v>
      </c>
      <c r="G18" s="3">
        <v>10</v>
      </c>
      <c r="H18" s="3" t="s">
        <v>92</v>
      </c>
      <c r="I18" s="3">
        <v>82</v>
      </c>
      <c r="J18" s="3">
        <v>81</v>
      </c>
      <c r="K18" s="3">
        <v>80</v>
      </c>
      <c r="L18" s="23" t="s">
        <v>96</v>
      </c>
    </row>
    <row r="19" spans="4:12" x14ac:dyDescent="0.3">
      <c r="D19" s="22" t="s">
        <v>76</v>
      </c>
      <c r="E19" s="3" t="s">
        <v>86</v>
      </c>
      <c r="F19" s="3">
        <v>14</v>
      </c>
      <c r="G19" s="3">
        <v>8</v>
      </c>
      <c r="H19" s="3" t="s">
        <v>88</v>
      </c>
      <c r="I19" s="3">
        <v>70</v>
      </c>
      <c r="J19" s="3">
        <v>75</v>
      </c>
      <c r="K19" s="3">
        <v>79</v>
      </c>
      <c r="L19" s="23" t="s">
        <v>95</v>
      </c>
    </row>
    <row r="20" spans="4:12" x14ac:dyDescent="0.3">
      <c r="D20" s="26" t="s">
        <v>4</v>
      </c>
      <c r="E20" s="27" t="s">
        <v>86</v>
      </c>
      <c r="F20" s="27">
        <v>16</v>
      </c>
      <c r="G20" s="27">
        <v>10</v>
      </c>
      <c r="H20" s="27" t="s">
        <v>91</v>
      </c>
      <c r="I20" s="27">
        <v>86</v>
      </c>
      <c r="J20" s="27">
        <v>81</v>
      </c>
      <c r="K20" s="27">
        <v>77</v>
      </c>
      <c r="L20" s="28" t="s">
        <v>99</v>
      </c>
    </row>
  </sheetData>
  <hyperlinks>
    <hyperlink ref="L7" r:id="rId1" xr:uid="{45106E26-E4E9-4994-8D02-D05B1CDCDCEB}"/>
    <hyperlink ref="L12" r:id="rId2" xr:uid="{244786F3-225E-4870-A970-A44BD7558D88}"/>
    <hyperlink ref="L15" r:id="rId3" xr:uid="{2E225829-29C4-4E8B-AEC8-51A8A949D02B}"/>
    <hyperlink ref="L19" r:id="rId4" xr:uid="{39B90376-25D6-46C9-96E0-E941C4A25592}"/>
    <hyperlink ref="L9" r:id="rId5" xr:uid="{DE0DE43C-AF5A-4992-BA2D-2C98A365F9BC}"/>
    <hyperlink ref="L18" r:id="rId6" xr:uid="{73FD55E8-759C-43A2-A8A0-F3A1E9CAD779}"/>
    <hyperlink ref="L13" r:id="rId7" xr:uid="{4B9E0C59-5B09-46A2-93D2-6D2050A4FC93}"/>
    <hyperlink ref="L10" r:id="rId8" xr:uid="{8A4583AC-53C8-475A-B584-8C24620A736F}"/>
    <hyperlink ref="L11" r:id="rId9" xr:uid="{58AC98DD-61D0-48C9-A432-3DE3F5A62C60}"/>
    <hyperlink ref="L14" r:id="rId10" xr:uid="{24F5AD44-AB83-4A54-8B88-D74B9A867776}"/>
    <hyperlink ref="L20" r:id="rId11" xr:uid="{AF42469A-F43C-43A2-B6D2-27F9EE2196DC}"/>
    <hyperlink ref="L16" r:id="rId12" xr:uid="{3A9C5CB3-E250-4CF6-A824-5F1095F50333}"/>
    <hyperlink ref="L17" r:id="rId13" xr:uid="{58C2ADF9-BF43-4482-A83B-3EC9B1BD0814}"/>
    <hyperlink ref="L8" r:id="rId14" xr:uid="{9B7791C3-C5EB-4EBE-B5F0-35822EFC789B}"/>
    <hyperlink ref="D6" location="Names!A1" display="Name" xr:uid="{49416BA8-2065-4CF1-954E-34B364C9AE6E}"/>
  </hyperlinks>
  <pageMargins left="0.7" right="0.7" top="0.75" bottom="0.75" header="0.3" footer="0.3"/>
  <tableParts count="1">
    <tablePart r:id="rId1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A695-4824-4293-BCF5-64028BE10BA6}">
  <dimension ref="B3:G8"/>
  <sheetViews>
    <sheetView zoomScale="160" zoomScaleNormal="160" workbookViewId="0">
      <selection activeCell="G8" sqref="G8"/>
    </sheetView>
  </sheetViews>
  <sheetFormatPr defaultRowHeight="14.4" x14ac:dyDescent="0.3"/>
  <sheetData>
    <row r="3" spans="2:7" x14ac:dyDescent="0.3">
      <c r="B3" t="s">
        <v>107</v>
      </c>
      <c r="F3" t="s">
        <v>64</v>
      </c>
      <c r="G3" t="s">
        <v>107</v>
      </c>
    </row>
    <row r="4" spans="2:7" x14ac:dyDescent="0.3">
      <c r="B4" t="s">
        <v>108</v>
      </c>
      <c r="F4" t="s">
        <v>74</v>
      </c>
      <c r="G4" t="s">
        <v>109</v>
      </c>
    </row>
    <row r="5" spans="2:7" x14ac:dyDescent="0.3">
      <c r="B5" t="s">
        <v>109</v>
      </c>
      <c r="F5" t="s">
        <v>82</v>
      </c>
      <c r="G5" t="s">
        <v>108</v>
      </c>
    </row>
    <row r="6" spans="2:7" x14ac:dyDescent="0.3">
      <c r="B6" t="s">
        <v>110</v>
      </c>
      <c r="F6" t="s">
        <v>85</v>
      </c>
      <c r="G6" t="s">
        <v>108</v>
      </c>
    </row>
    <row r="7" spans="2:7" x14ac:dyDescent="0.3">
      <c r="F7" t="s">
        <v>79</v>
      </c>
      <c r="G7" t="s">
        <v>110</v>
      </c>
    </row>
    <row r="8" spans="2:7" x14ac:dyDescent="0.3">
      <c r="F8" t="s">
        <v>76</v>
      </c>
      <c r="G8" t="s">
        <v>108</v>
      </c>
    </row>
  </sheetData>
  <dataValidations count="1">
    <dataValidation type="list" allowBlank="1" showInputMessage="1" showErrorMessage="1" sqref="G4:G8" xr:uid="{74FA21F7-6268-466D-922F-4FB4479D0701}">
      <formula1>$B$4:$B$6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36C3-FDED-4169-8F0D-4D34A046D5A0}">
  <dimension ref="A3:A17"/>
  <sheetViews>
    <sheetView zoomScale="170" zoomScaleNormal="170" workbookViewId="0"/>
  </sheetViews>
  <sheetFormatPr defaultRowHeight="14.4" x14ac:dyDescent="0.3"/>
  <sheetData>
    <row r="3" spans="1:1" x14ac:dyDescent="0.3">
      <c r="A3" s="31" t="s">
        <v>64</v>
      </c>
    </row>
    <row r="4" spans="1:1" x14ac:dyDescent="0.3">
      <c r="A4" s="32" t="s">
        <v>73</v>
      </c>
    </row>
    <row r="5" spans="1:1" x14ac:dyDescent="0.3">
      <c r="A5" s="33" t="s">
        <v>85</v>
      </c>
    </row>
    <row r="6" spans="1:1" x14ac:dyDescent="0.3">
      <c r="A6" s="32" t="s">
        <v>77</v>
      </c>
    </row>
    <row r="7" spans="1:1" x14ac:dyDescent="0.3">
      <c r="A7" s="33" t="s">
        <v>80</v>
      </c>
    </row>
    <row r="8" spans="1:1" x14ac:dyDescent="0.3">
      <c r="A8" s="32" t="s">
        <v>81</v>
      </c>
    </row>
    <row r="9" spans="1:1" x14ac:dyDescent="0.3">
      <c r="A9" s="33" t="s">
        <v>74</v>
      </c>
    </row>
    <row r="10" spans="1:1" x14ac:dyDescent="0.3">
      <c r="A10" s="32" t="s">
        <v>79</v>
      </c>
    </row>
    <row r="11" spans="1:1" x14ac:dyDescent="0.3">
      <c r="A11" s="33" t="s">
        <v>82</v>
      </c>
    </row>
    <row r="12" spans="1:1" x14ac:dyDescent="0.3">
      <c r="A12" s="32" t="s">
        <v>75</v>
      </c>
    </row>
    <row r="13" spans="1:1" x14ac:dyDescent="0.3">
      <c r="A13" s="33" t="s">
        <v>83</v>
      </c>
    </row>
    <row r="14" spans="1:1" x14ac:dyDescent="0.3">
      <c r="A14" s="32" t="s">
        <v>84</v>
      </c>
    </row>
    <row r="15" spans="1:1" x14ac:dyDescent="0.3">
      <c r="A15" s="33" t="s">
        <v>78</v>
      </c>
    </row>
    <row r="16" spans="1:1" x14ac:dyDescent="0.3">
      <c r="A16" s="32" t="s">
        <v>76</v>
      </c>
    </row>
    <row r="17" spans="1:1" x14ac:dyDescent="0.3">
      <c r="A17" s="3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Project_1</vt:lpstr>
      <vt:lpstr>Sheet1</vt:lpstr>
      <vt:lpstr>Sheet5</vt:lpstr>
      <vt:lpstr>School_Data</vt:lpstr>
      <vt:lpstr>Sheet8</vt:lpstr>
      <vt:lpstr>Sheet4</vt:lpstr>
      <vt:lpstr>Sheet6</vt:lpstr>
      <vt:lpstr>Sheet9</vt:lpstr>
      <vt:lpstr>Sheet7</vt:lpstr>
      <vt:lpstr>Sheet3</vt:lpstr>
      <vt:lpstr>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Anubhav Pathak</dc:creator>
  <cp:lastModifiedBy>Anubhav Pathak</cp:lastModifiedBy>
  <dcterms:created xsi:type="dcterms:W3CDTF">2026-06-26T03:13:46Z</dcterms:created>
  <dcterms:modified xsi:type="dcterms:W3CDTF">2026-06-26T09:55:53Z</dcterms:modified>
</cp:coreProperties>
</file>